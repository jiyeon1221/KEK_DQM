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on Calculator" sheetId="1" r:id="rId5"/>
  </sheets>
  <definedNames/>
  <calcPr/>
</workbook>
</file>

<file path=xl/sharedStrings.xml><?xml version="1.0" encoding="utf-8"?>
<sst xmlns="http://schemas.openxmlformats.org/spreadsheetml/2006/main" count="65" uniqueCount="65">
  <si>
    <t>Position Calculator (MCP Center Axis)</t>
  </si>
  <si>
    <t>(-)</t>
  </si>
  <si>
    <t>M1T1</t>
  </si>
  <si>
    <t>M1T2</t>
  </si>
  <si>
    <t>M2T1</t>
  </si>
  <si>
    <t>M2T2</t>
  </si>
  <si>
    <t>M3T1</t>
  </si>
  <si>
    <t>M3T2</t>
  </si>
  <si>
    <t>Module</t>
  </si>
  <si>
    <t>Tower</t>
  </si>
  <si>
    <t>Position</t>
  </si>
  <si>
    <t>Offset X (mm)</t>
  </si>
  <si>
    <t>Offset Y (mm)</t>
  </si>
  <si>
    <t>M1T3</t>
  </si>
  <si>
    <t>M1T4</t>
  </si>
  <si>
    <t>M2T3</t>
  </si>
  <si>
    <t>M2T4</t>
  </si>
  <si>
    <t>M3T3</t>
  </si>
  <si>
    <t>M3T4</t>
  </si>
  <si>
    <t>M5</t>
  </si>
  <si>
    <t>T3</t>
  </si>
  <si>
    <t>Center</t>
  </si>
  <si>
    <t>JURA
(-X)</t>
  </si>
  <si>
    <t>M4T1</t>
  </si>
  <si>
    <t>M4T2</t>
  </si>
  <si>
    <t>M5T1</t>
  </si>
  <si>
    <t>M5T2</t>
  </si>
  <si>
    <t>M6T1</t>
  </si>
  <si>
    <t>M6T2</t>
  </si>
  <si>
    <t>Saleve
(+X)</t>
  </si>
  <si>
    <t>M4T3</t>
  </si>
  <si>
    <t>M4T4</t>
  </si>
  <si>
    <r>
      <rPr>
        <rFont val="Calibri"/>
        <b/>
        <color rgb="FF434343"/>
        <sz val="12.0"/>
      </rPr>
      <t xml:space="preserve">M5T3
</t>
    </r>
    <r>
      <rPr>
        <rFont val="Calibri"/>
        <b/>
        <color rgb="FFFF0000"/>
        <sz val="12.0"/>
      </rPr>
      <t>(Axis)</t>
    </r>
  </si>
  <si>
    <t>M5T4</t>
  </si>
  <si>
    <t>M6T3</t>
  </si>
  <si>
    <t>M6T4</t>
  </si>
  <si>
    <t>X (mm)</t>
  </si>
  <si>
    <t>Rotation</t>
  </si>
  <si>
    <t>M7T1</t>
  </si>
  <si>
    <t>M7T2</t>
  </si>
  <si>
    <t>M8T1</t>
  </si>
  <si>
    <t>M8T2</t>
  </si>
  <si>
    <t>M9T1</t>
  </si>
  <si>
    <t>M9T2</t>
  </si>
  <si>
    <t>Y (mm)</t>
  </si>
  <si>
    <t>M7T3</t>
  </si>
  <si>
    <t>M7T4</t>
  </si>
  <si>
    <t>M8T3</t>
  </si>
  <si>
    <t>M8T4</t>
  </si>
  <si>
    <t>M9T3</t>
  </si>
  <si>
    <t>M9T4</t>
  </si>
  <si>
    <t>(+)</t>
  </si>
  <si>
    <t>측정해서 넣어줘야 하는 값</t>
  </si>
  <si>
    <t>Tower width</t>
  </si>
  <si>
    <t>Tower height</t>
  </si>
  <si>
    <t>Rotation axis 
(l, mm)</t>
  </si>
  <si>
    <t>Rotation axis 
(axis, deg)</t>
  </si>
  <si>
    <t>Module width 
(=2x Tower width)</t>
  </si>
  <si>
    <t>Module height 
(=2x Tower height)</t>
  </si>
  <si>
    <t>x</t>
  </si>
  <si>
    <t>y</t>
  </si>
  <si>
    <t>Module 위치</t>
  </si>
  <si>
    <t>Tower 위치</t>
  </si>
  <si>
    <t>Uniformity 위치</t>
  </si>
  <si>
    <t>Module + Tower + Uniformity 위치 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</si>
</sst>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b/>
      <sz val="12.0"/>
      <color rgb="FF000000"/>
      <name val="Calibri"/>
    </font>
    <font>
      <b/>
      <i/>
      <sz val="12.0"/>
      <color theme="1"/>
      <name val="Calibri"/>
    </font>
    <font>
      <b/>
      <sz val="12.0"/>
      <color rgb="FF434343"/>
      <name val="Calibri"/>
    </font>
    <font>
      <b/>
      <sz val="12.0"/>
      <color rgb="FFEA4335"/>
      <name val="Calibri"/>
    </font>
    <font>
      <b/>
      <sz val="12.0"/>
      <color rgb="FF4285F4"/>
      <name val="Calibri"/>
    </font>
    <font>
      <sz val="12.0"/>
      <color rgb="FF000000"/>
      <name val="Calibri"/>
    </font>
    <font>
      <b/>
      <i/>
      <sz val="12.0"/>
      <color rgb="FF000000"/>
      <name val="Calibri"/>
    </font>
    <font>
      <i/>
      <sz val="12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5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00"/>
      </left>
      <top style="thin">
        <color rgb="FFFFFF00"/>
      </top>
    </border>
    <border>
      <right style="thin">
        <color rgb="FFFFFF00"/>
      </right>
      <top style="thin">
        <color rgb="FFFFFF00"/>
      </top>
    </border>
    <border>
      <left style="thick">
        <color rgb="FFA61C00"/>
      </left>
      <right style="thin">
        <color rgb="FF666666"/>
      </right>
      <top style="thick">
        <color rgb="FFA61C00"/>
      </top>
      <bottom style="thin">
        <color rgb="FF666666"/>
      </bottom>
    </border>
    <border>
      <left style="thin">
        <color rgb="FF666666"/>
      </left>
      <right style="medium">
        <color rgb="FF000000"/>
      </right>
      <top style="thick">
        <color rgb="FFA61C00"/>
      </top>
      <bottom style="thin">
        <color rgb="FF666666"/>
      </bottom>
    </border>
    <border>
      <left style="medium">
        <color rgb="FF000000"/>
      </left>
      <right style="thin">
        <color rgb="FF666666"/>
      </right>
      <top style="thick">
        <color rgb="FFA61C00"/>
      </top>
      <bottom style="thin">
        <color rgb="FF666666"/>
      </bottom>
    </border>
    <border>
      <left style="thin">
        <color rgb="FF666666"/>
      </left>
      <right style="thick">
        <color rgb="FFA61C00"/>
      </right>
      <top style="thick">
        <color rgb="FFA61C00"/>
      </top>
      <bottom style="thin">
        <color rgb="FF666666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A61C00"/>
      </left>
      <right style="thin">
        <color rgb="FF666666"/>
      </right>
      <top style="thin">
        <color rgb="FF666666"/>
      </top>
      <bottom style="medium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medium">
        <color rgb="FF000000"/>
      </bottom>
    </border>
    <border>
      <left style="medium">
        <color rgb="FF000000"/>
      </left>
      <right style="thin">
        <color rgb="FF666666"/>
      </right>
      <top style="thin">
        <color rgb="FF666666"/>
      </top>
      <bottom style="medium">
        <color rgb="FF000000"/>
      </bottom>
    </border>
    <border>
      <left style="thin">
        <color rgb="FF666666"/>
      </left>
      <right style="thick">
        <color rgb="FFA61C00"/>
      </right>
      <top style="thin">
        <color rgb="FF666666"/>
      </top>
      <bottom style="medium">
        <color rgb="FF000000"/>
      </bottom>
    </border>
    <border>
      <left style="thin">
        <color rgb="FFFFFFFF"/>
      </left>
      <top style="thin">
        <color rgb="FFFFFFFF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FFFF00"/>
      </left>
      <top style="thick">
        <color rgb="FFFFFF00"/>
      </top>
    </border>
    <border>
      <left style="thick">
        <color rgb="FFA61C00"/>
      </left>
      <right style="thin">
        <color rgb="FF666666"/>
      </right>
      <top style="medium">
        <color rgb="FF000000"/>
      </top>
      <bottom style="thin">
        <color rgb="FF666666"/>
      </bottom>
    </border>
    <border>
      <left style="thin">
        <color rgb="FF666666"/>
      </left>
      <right style="medium">
        <color rgb="FF000000"/>
      </right>
      <top style="medium">
        <color rgb="FF000000"/>
      </top>
      <bottom style="thin">
        <color rgb="FF666666"/>
      </bottom>
    </border>
    <border>
      <left style="medium">
        <color rgb="FF000000"/>
      </left>
      <right style="thin">
        <color rgb="FF666666"/>
      </right>
      <top style="medium">
        <color rgb="FF000000"/>
      </top>
      <bottom style="thin">
        <color rgb="FF666666"/>
      </bottom>
    </border>
    <border>
      <left style="thin">
        <color rgb="FF666666"/>
      </left>
      <right style="thick">
        <color rgb="FFA61C00"/>
      </right>
      <top style="medium">
        <color rgb="FF000000"/>
      </top>
      <bottom style="thin">
        <color rgb="FF666666"/>
      </bottom>
    </border>
    <border>
      <left style="thin">
        <color rgb="FFFFFFFF"/>
      </left>
      <right style="thick">
        <color rgb="FFFFFF00"/>
      </right>
      <top style="thick">
        <color rgb="FFFFFF00"/>
      </top>
    </border>
    <border>
      <left style="thick">
        <color rgb="FFFFFF00"/>
      </left>
      <bottom style="thick">
        <color rgb="FFFFFF00"/>
      </bottom>
    </border>
    <border>
      <left style="thin">
        <color rgb="FFFFFFFF"/>
      </left>
      <right style="thick">
        <color rgb="FFFFFF00"/>
      </right>
      <bottom style="thick">
        <color rgb="FFFFFF00"/>
      </bottom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medium">
        <color rgb="FF000000"/>
      </bottom>
    </border>
    <border>
      <left style="thick">
        <color rgb="FFA61C00"/>
      </left>
      <right style="thin">
        <color rgb="FF666666"/>
      </right>
      <top style="thin">
        <color rgb="FF666666"/>
      </top>
      <bottom style="thick">
        <color rgb="FF980000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thick">
        <color rgb="FF980000"/>
      </bottom>
    </border>
    <border>
      <left style="medium">
        <color rgb="FF000000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medium">
        <color rgb="FF000000"/>
      </right>
      <top style="thin">
        <color rgb="FF666666"/>
      </top>
    </border>
    <border>
      <left style="medium">
        <color rgb="FF000000"/>
      </left>
      <right style="thin">
        <color rgb="FF666666"/>
      </right>
      <top style="thin">
        <color rgb="FF666666"/>
      </top>
      <bottom style="thick">
        <color rgb="FF980000"/>
      </bottom>
    </border>
    <border>
      <left style="thin">
        <color rgb="FF666666"/>
      </left>
      <right style="thick">
        <color rgb="FFA61C00"/>
      </right>
      <top style="thin">
        <color rgb="FF666666"/>
      </top>
      <bottom style="thick">
        <color rgb="FF980000"/>
      </bottom>
    </border>
    <border>
      <left style="thin">
        <color rgb="FFFFFF00"/>
      </left>
      <top style="thick">
        <color rgb="FF980000"/>
      </top>
    </border>
    <border>
      <right style="thin">
        <color rgb="FFFFFF00"/>
      </right>
      <top style="thick">
        <color rgb="FF98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dotted">
        <color rgb="FF000000"/>
      </left>
      <right style="medium">
        <color rgb="FF000000"/>
      </right>
      <top style="thin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0" fillId="0" fontId="1" numFmtId="0" xfId="0" applyAlignment="1" applyFont="1">
      <alignment vertical="center"/>
    </xf>
    <xf borderId="6" fillId="4" fontId="2" numFmtId="0" xfId="0" applyAlignment="1" applyBorder="1" applyFill="1" applyFont="1">
      <alignment horizontal="center" vertical="center"/>
    </xf>
    <xf borderId="7" fillId="4" fontId="2" numFmtId="0" xfId="0" applyAlignment="1" applyBorder="1" applyFont="1">
      <alignment horizontal="center" vertical="center"/>
    </xf>
    <xf borderId="8" fillId="4" fontId="2" numFmtId="0" xfId="0" applyAlignment="1" applyBorder="1" applyFont="1">
      <alignment horizontal="center" vertical="center"/>
    </xf>
    <xf borderId="9" fillId="4" fontId="2" numFmtId="0" xfId="0" applyAlignment="1" applyBorder="1" applyFont="1">
      <alignment horizontal="center" vertical="center"/>
    </xf>
    <xf borderId="10" fillId="0" fontId="1" numFmtId="0" xfId="0" applyAlignment="1" applyBorder="1" applyFont="1">
      <alignment vertical="center"/>
    </xf>
    <xf borderId="11" fillId="4" fontId="2" numFmtId="0" xfId="0" applyAlignment="1" applyBorder="1" applyFont="1">
      <alignment horizontal="center" vertical="center"/>
    </xf>
    <xf borderId="11" fillId="5" fontId="2" numFmtId="0" xfId="0" applyAlignment="1" applyBorder="1" applyFill="1" applyFont="1">
      <alignment horizontal="center" vertical="center"/>
    </xf>
    <xf borderId="11" fillId="6" fontId="2" numFmtId="0" xfId="0" applyAlignment="1" applyBorder="1" applyFill="1" applyFont="1">
      <alignment horizontal="center" vertical="center"/>
    </xf>
    <xf borderId="12" fillId="7" fontId="2" numFmtId="0" xfId="0" applyAlignment="1" applyBorder="1" applyFill="1" applyFont="1">
      <alignment horizontal="center" vertical="center"/>
    </xf>
    <xf borderId="13" fillId="7" fontId="2" numFmtId="0" xfId="0" applyAlignment="1" applyBorder="1" applyFont="1">
      <alignment horizontal="center" vertical="center"/>
    </xf>
    <xf borderId="14" fillId="4" fontId="2" numFmtId="0" xfId="0" applyAlignment="1" applyBorder="1" applyFont="1">
      <alignment horizontal="center" vertical="center"/>
    </xf>
    <xf borderId="15" fillId="4" fontId="2" numFmtId="0" xfId="0" applyAlignment="1" applyBorder="1" applyFont="1">
      <alignment horizontal="center" vertical="center"/>
    </xf>
    <xf borderId="16" fillId="4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horizontal="center" vertical="center"/>
    </xf>
    <xf borderId="18" fillId="0" fontId="1" numFmtId="0" xfId="0" applyAlignment="1" applyBorder="1" applyFont="1">
      <alignment vertical="center"/>
    </xf>
    <xf borderId="19" fillId="0" fontId="2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 readingOrder="0" shrinkToFit="0" vertical="center" wrapText="1"/>
    </xf>
    <xf borderId="22" fillId="8" fontId="5" numFmtId="0" xfId="0" applyAlignment="1" applyBorder="1" applyFill="1" applyFont="1">
      <alignment horizontal="center" vertical="center"/>
    </xf>
    <xf borderId="23" fillId="4" fontId="2" numFmtId="0" xfId="0" applyAlignment="1" applyBorder="1" applyFont="1">
      <alignment horizontal="center" vertical="center"/>
    </xf>
    <xf borderId="24" fillId="4" fontId="2" numFmtId="0" xfId="0" applyAlignment="1" applyBorder="1" applyFont="1">
      <alignment horizontal="center" vertical="center"/>
    </xf>
    <xf borderId="25" fillId="4" fontId="2" numFmtId="0" xfId="0" applyAlignment="1" applyBorder="1" applyFont="1">
      <alignment horizontal="center" vertical="center"/>
    </xf>
    <xf borderId="26" fillId="4" fontId="2" numFmtId="0" xfId="0" applyAlignment="1" applyBorder="1" applyFont="1">
      <alignment horizontal="center" vertical="center"/>
    </xf>
    <xf borderId="27" fillId="3" fontId="5" numFmtId="0" xfId="0" applyAlignment="1" applyBorder="1" applyFont="1">
      <alignment horizontal="center" vertical="center"/>
    </xf>
    <xf borderId="28" fillId="0" fontId="3" numFmtId="0" xfId="0" applyBorder="1" applyFont="1"/>
    <xf borderId="16" fillId="9" fontId="6" numFmtId="0" xfId="0" applyAlignment="1" applyBorder="1" applyFill="1" applyFont="1">
      <alignment horizontal="center" vertical="center"/>
    </xf>
    <xf borderId="29" fillId="0" fontId="3" numFmtId="0" xfId="0" applyBorder="1" applyFont="1"/>
    <xf borderId="30" fillId="8" fontId="7" numFmtId="0" xfId="0" applyAlignment="1" applyBorder="1" applyFont="1">
      <alignment horizontal="center" vertical="center"/>
    </xf>
    <xf borderId="31" fillId="3" fontId="2" numFmtId="2" xfId="0" applyAlignment="1" applyBorder="1" applyFont="1" applyNumberFormat="1">
      <alignment horizontal="center" shrinkToFit="0" vertical="center" wrapText="1"/>
    </xf>
    <xf borderId="11" fillId="10" fontId="2" numFmtId="0" xfId="0" applyAlignment="1" applyBorder="1" applyFill="1" applyFont="1">
      <alignment horizontal="center" readingOrder="0" vertical="center"/>
    </xf>
    <xf borderId="32" fillId="0" fontId="1" numFmtId="0" xfId="0" applyAlignment="1" applyBorder="1" applyFont="1">
      <alignment vertical="center"/>
    </xf>
    <xf borderId="33" fillId="8" fontId="8" numFmtId="0" xfId="0" applyAlignment="1" applyBorder="1" applyFont="1">
      <alignment horizontal="center" vertical="center"/>
    </xf>
    <xf borderId="34" fillId="3" fontId="2" numFmtId="2" xfId="0" applyAlignment="1" applyBorder="1" applyFont="1" applyNumberFormat="1">
      <alignment horizontal="center" shrinkToFit="0" vertical="center" wrapText="1"/>
    </xf>
    <xf borderId="35" fillId="0" fontId="4" numFmtId="0" xfId="0" applyAlignment="1" applyBorder="1" applyFont="1">
      <alignment horizontal="center" readingOrder="0" shrinkToFit="0" vertical="center" wrapText="1"/>
    </xf>
    <xf borderId="36" fillId="4" fontId="2" numFmtId="0" xfId="0" applyAlignment="1" applyBorder="1" applyFont="1">
      <alignment horizontal="center" vertical="center"/>
    </xf>
    <xf borderId="37" fillId="4" fontId="2" numFmtId="0" xfId="0" applyAlignment="1" applyBorder="1" applyFont="1">
      <alignment horizontal="center" vertical="center"/>
    </xf>
    <xf borderId="38" fillId="4" fontId="2" numFmtId="0" xfId="0" applyAlignment="1" applyBorder="1" applyFont="1">
      <alignment horizontal="center" vertical="center"/>
    </xf>
    <xf borderId="39" fillId="4" fontId="2" numFmtId="0" xfId="0" applyAlignment="1" applyBorder="1" applyFont="1">
      <alignment horizontal="center" vertical="center"/>
    </xf>
    <xf borderId="40" fillId="4" fontId="2" numFmtId="0" xfId="0" applyAlignment="1" applyBorder="1" applyFont="1">
      <alignment horizontal="center" vertical="center"/>
    </xf>
    <xf borderId="41" fillId="4" fontId="2" numFmtId="0" xfId="0" applyAlignment="1" applyBorder="1" applyFont="1">
      <alignment horizontal="center" vertical="center"/>
    </xf>
    <xf borderId="42" fillId="3" fontId="2" numFmtId="0" xfId="0" applyAlignment="1" applyBorder="1" applyFont="1">
      <alignment horizontal="center" readingOrder="0" shrinkToFit="0" vertical="center" wrapText="0"/>
    </xf>
    <xf borderId="43" fillId="0" fontId="3" numFmtId="0" xfId="0" applyBorder="1" applyFont="1"/>
    <xf borderId="0" fillId="0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1"/>
    </xf>
    <xf borderId="44" fillId="0" fontId="4" numFmtId="0" xfId="0" applyAlignment="1" applyBorder="1" applyFont="1">
      <alignment horizontal="center" shrinkToFit="0" vertical="center" wrapText="1"/>
    </xf>
    <xf borderId="44" fillId="0" fontId="10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readingOrder="0" shrinkToFit="0" vertical="center" wrapText="1"/>
    </xf>
    <xf borderId="44" fillId="0" fontId="11" numFmtId="0" xfId="0" applyAlignment="1" applyBorder="1" applyFont="1">
      <alignment horizontal="center" readingOrder="0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45" fillId="0" fontId="9" numFmtId="0" xfId="0" applyAlignment="1" applyBorder="1" applyFont="1">
      <alignment horizontal="center" shrinkToFit="0" vertical="center" wrapText="1"/>
    </xf>
    <xf borderId="46" fillId="0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0"/>
    </xf>
    <xf borderId="47" fillId="0" fontId="9" numFmtId="0" xfId="0" applyAlignment="1" applyBorder="1" applyFont="1">
      <alignment horizontal="center" shrinkToFit="0" vertical="center" wrapText="1"/>
    </xf>
    <xf borderId="48" fillId="0" fontId="9" numFmtId="0" xfId="0" applyAlignment="1" applyBorder="1" applyFont="1">
      <alignment horizontal="center" shrinkToFit="0" vertical="center" wrapText="1"/>
    </xf>
    <xf borderId="49" fillId="0" fontId="9" numFmtId="0" xfId="0" applyAlignment="1" applyBorder="1" applyFont="1">
      <alignment horizontal="center" shrinkToFit="0" vertical="center" wrapText="0"/>
    </xf>
    <xf borderId="50" fillId="0" fontId="9" numFmtId="0" xfId="0" applyAlignment="1" applyBorder="1" applyFont="1">
      <alignment horizontal="center" shrinkToFit="0" vertical="center" wrapText="0"/>
    </xf>
    <xf borderId="1" fillId="11" fontId="9" numFmtId="0" xfId="0" applyAlignment="1" applyBorder="1" applyFill="1" applyFont="1">
      <alignment horizontal="center" shrinkToFit="0" vertical="center" wrapText="1"/>
    </xf>
    <xf borderId="51" fillId="11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34</xdr:row>
      <xdr:rowOff>0</xdr:rowOff>
    </xdr:from>
    <xdr:ext cx="2476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4" width="25.86"/>
    <col customWidth="1" min="5" max="5" width="4.0"/>
    <col customWidth="1" min="6" max="6" width="18.14"/>
    <col customWidth="1" min="7" max="7" width="20.0"/>
    <col customWidth="1" min="8" max="8" width="17.29"/>
    <col customWidth="1" min="9" max="16" width="8.0"/>
    <col customWidth="1" min="1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/>
      <c r="B3" s="3" t="s">
        <v>0</v>
      </c>
      <c r="C3" s="4"/>
      <c r="D3" s="4"/>
      <c r="E3" s="4"/>
      <c r="F3" s="4"/>
      <c r="G3" s="5"/>
      <c r="H3" s="1"/>
      <c r="I3" s="6"/>
      <c r="J3" s="6"/>
      <c r="K3" s="6"/>
      <c r="L3" s="7" t="s">
        <v>1</v>
      </c>
      <c r="M3" s="8"/>
      <c r="N3" s="6"/>
      <c r="O3" s="6"/>
      <c r="P3" s="6"/>
      <c r="Q3" s="2"/>
      <c r="R3" s="2"/>
      <c r="S3" s="2"/>
      <c r="T3" s="2"/>
      <c r="U3" s="2"/>
      <c r="V3" s="2"/>
      <c r="W3" s="2"/>
      <c r="X3" s="2"/>
      <c r="Y3" s="2"/>
      <c r="Z3" s="2"/>
    </row>
    <row r="4" ht="37.5" customHeight="1">
      <c r="A4" s="1"/>
      <c r="B4" s="1"/>
      <c r="C4" s="1"/>
      <c r="D4" s="1"/>
      <c r="E4" s="1"/>
      <c r="F4" s="1"/>
      <c r="G4" s="1"/>
      <c r="H4" s="1"/>
      <c r="I4" s="9"/>
      <c r="J4" s="10" t="s">
        <v>2</v>
      </c>
      <c r="K4" s="11" t="s">
        <v>3</v>
      </c>
      <c r="L4" s="12" t="s">
        <v>4</v>
      </c>
      <c r="M4" s="11" t="s">
        <v>5</v>
      </c>
      <c r="N4" s="12" t="s">
        <v>6</v>
      </c>
      <c r="O4" s="13" t="s">
        <v>7</v>
      </c>
      <c r="P4" s="14"/>
      <c r="Q4" s="2"/>
      <c r="R4" s="2"/>
      <c r="S4" s="2"/>
      <c r="T4" s="2"/>
      <c r="U4" s="2"/>
      <c r="V4" s="2"/>
      <c r="W4" s="2"/>
      <c r="X4" s="2"/>
      <c r="Y4" s="2"/>
      <c r="Z4" s="2"/>
    </row>
    <row r="5" ht="37.5" customHeight="1">
      <c r="A5" s="1"/>
      <c r="B5" s="15" t="s">
        <v>8</v>
      </c>
      <c r="C5" s="16" t="s">
        <v>9</v>
      </c>
      <c r="D5" s="17" t="s">
        <v>10</v>
      </c>
      <c r="E5" s="1"/>
      <c r="F5" s="18" t="s">
        <v>11</v>
      </c>
      <c r="G5" s="19" t="s">
        <v>12</v>
      </c>
      <c r="H5" s="1"/>
      <c r="I5" s="9"/>
      <c r="J5" s="20" t="s">
        <v>13</v>
      </c>
      <c r="K5" s="21" t="s">
        <v>14</v>
      </c>
      <c r="L5" s="22" t="s">
        <v>15</v>
      </c>
      <c r="M5" s="21" t="s">
        <v>16</v>
      </c>
      <c r="N5" s="22" t="s">
        <v>17</v>
      </c>
      <c r="O5" s="23" t="s">
        <v>18</v>
      </c>
      <c r="P5" s="24"/>
      <c r="Q5" s="2"/>
      <c r="R5" s="2"/>
      <c r="S5" s="2"/>
      <c r="T5" s="2"/>
      <c r="U5" s="2"/>
      <c r="V5" s="2"/>
      <c r="W5" s="2"/>
      <c r="X5" s="2"/>
      <c r="Y5" s="2"/>
      <c r="Z5" s="2"/>
    </row>
    <row r="6" ht="37.5" customHeight="1">
      <c r="A6" s="1"/>
      <c r="B6" s="25" t="s">
        <v>19</v>
      </c>
      <c r="C6" s="25" t="s">
        <v>20</v>
      </c>
      <c r="D6" s="25" t="s">
        <v>21</v>
      </c>
      <c r="E6" s="1"/>
      <c r="F6" s="26">
        <v>1000.0</v>
      </c>
      <c r="G6" s="27">
        <v>1000.0</v>
      </c>
      <c r="H6" s="1"/>
      <c r="I6" s="28" t="s">
        <v>22</v>
      </c>
      <c r="J6" s="29" t="s">
        <v>23</v>
      </c>
      <c r="K6" s="30" t="s">
        <v>24</v>
      </c>
      <c r="L6" s="31" t="s">
        <v>25</v>
      </c>
      <c r="M6" s="30" t="s">
        <v>26</v>
      </c>
      <c r="N6" s="31" t="s">
        <v>27</v>
      </c>
      <c r="O6" s="32" t="s">
        <v>28</v>
      </c>
      <c r="P6" s="33" t="s">
        <v>29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37.5" customHeight="1">
      <c r="A7" s="1"/>
      <c r="B7" s="1"/>
      <c r="C7" s="1"/>
      <c r="D7" s="1"/>
      <c r="E7" s="1"/>
      <c r="F7" s="1"/>
      <c r="G7" s="1"/>
      <c r="H7" s="1"/>
      <c r="I7" s="34"/>
      <c r="J7" s="20" t="s">
        <v>30</v>
      </c>
      <c r="K7" s="21" t="s">
        <v>31</v>
      </c>
      <c r="L7" s="35" t="s">
        <v>32</v>
      </c>
      <c r="M7" s="21" t="s">
        <v>33</v>
      </c>
      <c r="N7" s="22" t="s">
        <v>34</v>
      </c>
      <c r="O7" s="23" t="s">
        <v>35</v>
      </c>
      <c r="P7" s="36"/>
      <c r="Q7" s="2"/>
      <c r="R7" s="2"/>
      <c r="S7" s="2"/>
      <c r="T7" s="2"/>
      <c r="U7" s="2"/>
      <c r="V7" s="2"/>
      <c r="W7" s="2"/>
      <c r="X7" s="2"/>
      <c r="Y7" s="2"/>
      <c r="Z7" s="2"/>
    </row>
    <row r="8" ht="37.5" customHeight="1">
      <c r="A8" s="1"/>
      <c r="B8" s="37" t="s">
        <v>36</v>
      </c>
      <c r="C8" s="38">
        <f>B46</f>
        <v>1000</v>
      </c>
      <c r="D8" s="1"/>
      <c r="E8" s="1"/>
      <c r="F8" s="39" t="s">
        <v>37</v>
      </c>
      <c r="G8" s="1"/>
      <c r="H8" s="1"/>
      <c r="I8" s="9"/>
      <c r="J8" s="29" t="s">
        <v>38</v>
      </c>
      <c r="K8" s="30" t="s">
        <v>39</v>
      </c>
      <c r="L8" s="31" t="s">
        <v>40</v>
      </c>
      <c r="M8" s="30" t="s">
        <v>41</v>
      </c>
      <c r="N8" s="31" t="s">
        <v>42</v>
      </c>
      <c r="O8" s="32" t="s">
        <v>43</v>
      </c>
      <c r="P8" s="40"/>
      <c r="Q8" s="2"/>
      <c r="R8" s="2"/>
      <c r="S8" s="2"/>
      <c r="T8" s="2"/>
      <c r="U8" s="2"/>
      <c r="V8" s="2"/>
      <c r="W8" s="2"/>
      <c r="X8" s="2"/>
      <c r="Y8" s="2"/>
      <c r="Z8" s="2"/>
    </row>
    <row r="9" ht="37.5" customHeight="1">
      <c r="A9" s="1"/>
      <c r="B9" s="41" t="s">
        <v>44</v>
      </c>
      <c r="C9" s="42">
        <f>C46</f>
        <v>1000</v>
      </c>
      <c r="D9" s="1"/>
      <c r="E9" s="1"/>
      <c r="F9" s="43">
        <v>0.0</v>
      </c>
      <c r="G9" s="1"/>
      <c r="H9" s="1"/>
      <c r="I9" s="9"/>
      <c r="J9" s="44" t="s">
        <v>45</v>
      </c>
      <c r="K9" s="45" t="s">
        <v>46</v>
      </c>
      <c r="L9" s="46" t="s">
        <v>47</v>
      </c>
      <c r="M9" s="47" t="s">
        <v>48</v>
      </c>
      <c r="N9" s="48" t="s">
        <v>49</v>
      </c>
      <c r="O9" s="49" t="s">
        <v>50</v>
      </c>
      <c r="P9" s="14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50" t="s">
        <v>51</v>
      </c>
      <c r="M10" s="51"/>
      <c r="N10" s="1"/>
      <c r="O10" s="1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1"/>
      <c r="M32" s="1"/>
      <c r="N32" s="1"/>
      <c r="O32" s="1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1"/>
      <c r="M33" s="1"/>
      <c r="N33" s="1"/>
      <c r="O33" s="1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52"/>
      <c r="C34" s="52"/>
      <c r="D34" s="52"/>
      <c r="E34" s="52"/>
      <c r="F34" s="53" t="s">
        <v>52</v>
      </c>
      <c r="H34" s="52"/>
      <c r="I34" s="52"/>
      <c r="J34" s="52"/>
      <c r="K34" s="52"/>
      <c r="L34" s="1"/>
      <c r="M34" s="1"/>
      <c r="N34" s="1"/>
      <c r="O34" s="1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0" customHeight="1">
      <c r="A35" s="1"/>
      <c r="B35" s="54" t="s">
        <v>53</v>
      </c>
      <c r="C35" s="54" t="s">
        <v>54</v>
      </c>
      <c r="D35" s="52"/>
      <c r="E35" s="52"/>
      <c r="F35" s="55" t="s">
        <v>55</v>
      </c>
      <c r="G35" s="55" t="s">
        <v>56</v>
      </c>
      <c r="H35" s="52"/>
      <c r="L35" s="1"/>
      <c r="M35" s="1"/>
      <c r="N35" s="1"/>
      <c r="O35" s="1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1"/>
      <c r="B36" s="56">
        <v>48.0</v>
      </c>
      <c r="C36" s="56">
        <v>50.0</v>
      </c>
      <c r="D36" s="52"/>
      <c r="E36" s="52"/>
      <c r="F36" s="57">
        <v>10.0</v>
      </c>
      <c r="G36" s="57">
        <v>5.0</v>
      </c>
      <c r="L36" s="1"/>
      <c r="M36" s="1"/>
      <c r="N36" s="1"/>
      <c r="O36" s="1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1"/>
      <c r="B37" s="58" t="s">
        <v>57</v>
      </c>
      <c r="C37" s="58" t="s">
        <v>58</v>
      </c>
      <c r="D37" s="52"/>
      <c r="E37" s="52"/>
      <c r="L37" s="1"/>
      <c r="M37" s="1"/>
      <c r="N37" s="1"/>
      <c r="O37" s="1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0" customHeight="1">
      <c r="A38" s="1"/>
      <c r="B38" s="59">
        <f t="shared" ref="B38:C38" si="1">2*B36</f>
        <v>96</v>
      </c>
      <c r="C38" s="59">
        <f t="shared" si="1"/>
        <v>100</v>
      </c>
      <c r="D38" s="52"/>
      <c r="E38" s="52"/>
      <c r="L38" s="1"/>
      <c r="M38" s="1"/>
      <c r="N38" s="1"/>
      <c r="O38" s="1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1"/>
      <c r="E39" s="52"/>
      <c r="F39" s="52"/>
      <c r="G39" s="52"/>
      <c r="L39" s="1"/>
      <c r="M39" s="1"/>
      <c r="N39" s="1"/>
      <c r="O39" s="1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"/>
      <c r="B40" s="60" t="s">
        <v>59</v>
      </c>
      <c r="C40" s="60" t="s">
        <v>60</v>
      </c>
      <c r="D40" s="61"/>
      <c r="E40" s="52"/>
      <c r="F40" s="52"/>
      <c r="G40" s="52"/>
      <c r="L40" s="1"/>
      <c r="M40" s="1"/>
      <c r="N40" s="1"/>
      <c r="O40" s="1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"/>
      <c r="B41" s="62">
        <f>SWITCH(B6,"M1",-B38,"M4",-B38,"M7",-B38,"M2",0,"M5",0,"M8",0,"M3",B38,"M6",B38,"M9",B38)</f>
        <v>0</v>
      </c>
      <c r="C41" s="63">
        <f>SWITCH(B6,"M1",-C38,"M2",-C38,"M3",-C38,"M4",0,"M5",0,"M6",0,"M7",C38,"M8",C38,"M9",C38)</f>
        <v>0</v>
      </c>
      <c r="D41" s="64" t="s">
        <v>61</v>
      </c>
      <c r="E41" s="52"/>
      <c r="F41" s="52"/>
      <c r="G41" s="52"/>
      <c r="L41" s="1"/>
      <c r="M41" s="1"/>
      <c r="N41" s="1"/>
      <c r="O41" s="1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1"/>
      <c r="B42" s="65">
        <f>SWITCH(C6,"T1",0,"T2",B36,"T3",0,"T4",B36)</f>
        <v>0</v>
      </c>
      <c r="C42" s="66">
        <f>SWITCH(C6,"T1",-C36,"T2",-C36,"T3",0,"T4",0)</f>
        <v>0</v>
      </c>
      <c r="D42" s="64" t="s">
        <v>62</v>
      </c>
      <c r="E42" s="52"/>
      <c r="F42" s="52"/>
      <c r="G42" s="52"/>
      <c r="L42" s="1"/>
      <c r="M42" s="1"/>
      <c r="N42" s="1"/>
      <c r="O42" s="1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"/>
      <c r="B43" s="65">
        <f>SWITCH(D6,"P1_UpperLeft",-B36/4,"P3_LowerLeft",-B36/4,"P2_UpperRight",B36/4,"P4_LowerRight",B36/4,"Center",0)</f>
        <v>0</v>
      </c>
      <c r="C43" s="66">
        <f>SWITCH(D6,"P1_UpperLeft",-C36/4,"P2_UpperRight",-C36/4,"P3_LowerLeft",C36/4,"P4_LowerRight",C36/4,"Center",0)</f>
        <v>0</v>
      </c>
      <c r="D43" s="64" t="s">
        <v>63</v>
      </c>
      <c r="E43" s="52"/>
      <c r="F43" s="52"/>
      <c r="G43" s="52"/>
      <c r="L43" s="1"/>
      <c r="M43" s="1"/>
      <c r="N43" s="1"/>
      <c r="O43" s="1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65">
        <f t="shared" ref="B44:C44" si="2">B41+B42+B43</f>
        <v>0</v>
      </c>
      <c r="C44" s="66">
        <f t="shared" si="2"/>
        <v>0</v>
      </c>
      <c r="D44" s="64" t="s">
        <v>64</v>
      </c>
      <c r="E44" s="52"/>
      <c r="F44" s="52"/>
      <c r="G44" s="52"/>
      <c r="L44" s="1"/>
      <c r="M44" s="1"/>
      <c r="N44" s="1"/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"/>
      <c r="B45" s="67"/>
      <c r="C45" s="68"/>
      <c r="D45" s="52"/>
      <c r="E45" s="52"/>
      <c r="F45" s="52"/>
      <c r="G45" s="52"/>
      <c r="L45" s="1"/>
      <c r="M45" s="1"/>
      <c r="N45" s="1"/>
      <c r="O45" s="1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"/>
      <c r="B46" s="69">
        <f>F6+B44*COS(RADIANS(F9))-(F36*SIN(RADIANS(G36))-F36*SIN(RADIANS(G36)-RADIANS(F9)))</f>
        <v>1000</v>
      </c>
      <c r="C46" s="70">
        <f>G6+C44</f>
        <v>1000</v>
      </c>
      <c r="D46" s="71"/>
      <c r="E46" s="52"/>
      <c r="F46" s="52"/>
      <c r="G46" s="52"/>
      <c r="L46" s="1"/>
      <c r="M46" s="1"/>
      <c r="N46" s="1"/>
      <c r="O46" s="1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1"/>
      <c r="M47" s="1"/>
      <c r="N47" s="1"/>
      <c r="O47" s="1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7">
    <mergeCell ref="B3:G3"/>
    <mergeCell ref="I6:I7"/>
    <mergeCell ref="P6:P7"/>
    <mergeCell ref="F34:G34"/>
    <mergeCell ref="H35:K46"/>
    <mergeCell ref="L3:M3"/>
    <mergeCell ref="L10:M10"/>
  </mergeCells>
  <dataValidations>
    <dataValidation type="list" allowBlank="1" showErrorMessage="1" sqref="B6">
      <formula1>"M1,M2,M3,M4,M5,M6,M7,M8,M9"</formula1>
    </dataValidation>
    <dataValidation type="list" allowBlank="1" showErrorMessage="1" sqref="C6">
      <formula1>"T1,T2,T3,T4"</formula1>
    </dataValidation>
    <dataValidation type="list" allowBlank="1" showErrorMessage="1" sqref="D6">
      <formula1>"Center,P1_UpperLeft,P2_UpperRight,P3_LowerLeft,P4_LowerRight"</formula1>
    </dataValidation>
  </dataValidations>
  <printOptions/>
  <pageMargins bottom="1.0" footer="0.0" header="0.0" left="0.75" right="0.75" top="1.0"/>
  <pageSetup paperSize="9" orientation="portrait"/>
  <drawing r:id="rId1"/>
</worksheet>
</file>